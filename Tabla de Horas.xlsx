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OneDrive\Escritorio\"/>
    </mc:Choice>
  </mc:AlternateContent>
  <xr:revisionPtr revIDLastSave="0" documentId="13_ncr:1_{2E3F6B4D-8A8E-4991-9B8B-7540BD665C02}" xr6:coauthVersionLast="47" xr6:coauthVersionMax="47" xr10:uidLastSave="{00000000-0000-0000-0000-000000000000}"/>
  <bookViews>
    <workbookView xWindow="-120" yWindow="-120" windowWidth="20730" windowHeight="11760" xr2:uid="{AA7125D4-4B37-4EF2-8725-B42133C62879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4" i="1"/>
  <c r="D44" i="1"/>
  <c r="C44" i="1"/>
  <c r="E2" i="1"/>
  <c r="E3" i="1"/>
  <c r="E4" i="1"/>
  <c r="E5" i="1"/>
  <c r="E6" i="1"/>
  <c r="E7" i="1"/>
  <c r="E8" i="1"/>
  <c r="E9" i="1"/>
  <c r="E10" i="1"/>
  <c r="E11" i="1"/>
  <c r="C12" i="1"/>
  <c r="D12" i="1"/>
  <c r="E12" i="1"/>
  <c r="E15" i="1"/>
  <c r="E16" i="1"/>
  <c r="E17" i="1"/>
  <c r="E18" i="1"/>
  <c r="E19" i="1"/>
  <c r="E20" i="1"/>
  <c r="E21" i="1"/>
  <c r="E22" i="1"/>
  <c r="E23" i="1"/>
  <c r="E24" i="1"/>
  <c r="C25" i="1"/>
  <c r="D25" i="1"/>
  <c r="E25" i="1"/>
  <c r="E28" i="1"/>
  <c r="E29" i="1"/>
  <c r="E30" i="1"/>
  <c r="E31" i="1"/>
  <c r="E32" i="1"/>
  <c r="E33" i="1"/>
  <c r="E34" i="1"/>
  <c r="E35" i="1"/>
  <c r="E36" i="1"/>
  <c r="E37" i="1"/>
  <c r="C38" i="1"/>
  <c r="D38" i="1"/>
  <c r="E38" i="1"/>
</calcChain>
</file>

<file path=xl/sharedStrings.xml><?xml version="1.0" encoding="utf-8"?>
<sst xmlns="http://schemas.openxmlformats.org/spreadsheetml/2006/main" count="61" uniqueCount="40">
  <si>
    <t xml:space="preserve">Tarea </t>
  </si>
  <si>
    <t>Desviación</t>
  </si>
  <si>
    <t>Horas Reales</t>
  </si>
  <si>
    <t>Horas Estimadas</t>
  </si>
  <si>
    <t>Federico Emanuel Bellomi</t>
  </si>
  <si>
    <t>Programación y Desarrollo de Firmware</t>
  </si>
  <si>
    <t>Definición de requerimientos, selección de arquitectura y cálculo preliminar de cinemática/actuadores.</t>
  </si>
  <si>
    <t>Diseño de poleas, engranajes cónicos, acoples y sistemas de fijación.</t>
  </si>
  <si>
    <t>Pruebas de cinemática directa, repetibilidad, precisión y capacidad de carga (Payload).</t>
  </si>
  <si>
    <t>Validación del firmware, pruebas de cada eje por separado y control manual.</t>
  </si>
  <si>
    <t>Montaje mecánico, montaje de electrónica y gestión de cableado/interferencias.</t>
  </si>
  <si>
    <t>Modelado CAD del robot SCARA.</t>
  </si>
  <si>
    <t>Total</t>
  </si>
  <si>
    <t>Definición física de la electrónica, diagramas de conexión y planificación de la alimentación.</t>
  </si>
  <si>
    <t xml:space="preserve">Arquitectura de Control </t>
  </si>
  <si>
    <t>Compra de materiales y fabricación de piezas mecánicas externas.</t>
  </si>
  <si>
    <t>Alumno</t>
  </si>
  <si>
    <t>Nicolás Agustín   De Lio</t>
  </si>
  <si>
    <t>Diseño e Integración Mecánica</t>
  </si>
  <si>
    <t>Conexionado e Integración Electrónica</t>
  </si>
  <si>
    <t>Montaje Mecánico y Electrónico</t>
  </si>
  <si>
    <t>Validación del Firmware y Pruebas</t>
  </si>
  <si>
    <t>Programación, Arquitectura y Desarrollo de Control (Firmware)</t>
  </si>
  <si>
    <t>Pruebas de Cinemática y Desempeño Mecánico</t>
  </si>
  <si>
    <t>Sistema de Visión Artificial: Calibración y Detección</t>
  </si>
  <si>
    <t>Integración Parcial y Pruebas Funcionales</t>
  </si>
  <si>
    <t>Integración Final, Ciclo Completo y Puesta a Punto</t>
  </si>
  <si>
    <t>Elias Valentin Jogar</t>
  </si>
  <si>
    <t>Modelado CAD del sistema de guías lineales</t>
  </si>
  <si>
    <t>Fabricación Piezas CAD en impresión 3D</t>
  </si>
  <si>
    <t>Fabricación y montaje de estructura portante</t>
  </si>
  <si>
    <t>Montaje y alineación del sistema de guías lineales</t>
  </si>
  <si>
    <t>Integración mecánica del sistema de inyección</t>
  </si>
  <si>
    <t>Integración electrónica del sistema de inyección</t>
  </si>
  <si>
    <t>Integración electrónica del sistema de guías lineales</t>
  </si>
  <si>
    <t>Integración mecánico-electrónica del sistema completo</t>
  </si>
  <si>
    <t>Calibración y ajuste del sistema de guías lineales</t>
  </si>
  <si>
    <t>Desarrollo de control sincronizado del eje lineal</t>
  </si>
  <si>
    <t>Comunicación y Sincronización Robot–Visión–Lavadora</t>
  </si>
  <si>
    <t xml:space="preserve">Grupo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</si>
</sst>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28"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Horas</a:t>
            </a:r>
            <a:r>
              <a:rPr lang="es-AR" baseline="0"/>
              <a:t> Reales </a:t>
            </a:r>
          </a:p>
        </c:rich>
      </c:tx>
      <c:layout>
        <c:manualLayout>
          <c:xMode val="edge"/>
          <c:yMode val="edge"/>
          <c:x val="0.360465223097112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Hoja1!$B$41:$B$43</c:f>
              <c:strCache>
                <c:ptCount val="3"/>
                <c:pt idx="0">
                  <c:v>Federico Emanuel Bellomi</c:v>
                </c:pt>
                <c:pt idx="1">
                  <c:v>Nicolás Agustín   De Lio</c:v>
                </c:pt>
                <c:pt idx="2">
                  <c:v>Elias Valentin Jogar</c:v>
                </c:pt>
              </c:strCache>
            </c:strRef>
          </c:cat>
          <c:val>
            <c:numRef>
              <c:f>Hoja1!$D$41:$D$43</c:f>
              <c:numCache>
                <c:formatCode>General</c:formatCode>
                <c:ptCount val="3"/>
                <c:pt idx="0">
                  <c:v>214</c:v>
                </c:pt>
                <c:pt idx="1">
                  <c:v>217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E-4795-BB61-E584141ADC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17859</xdr:colOff>
      <xdr:row>29</xdr:row>
      <xdr:rowOff>176213</xdr:rowOff>
    </xdr:from>
    <xdr:to>
      <xdr:col>12</xdr:col>
      <xdr:colOff>17859</xdr:colOff>
      <xdr:row>44</xdr:row>
      <xdr:rowOff>14288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63C93A-89A7-5ECE-30D8-EB077FDCA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6C523A-FD2A-4253-BA0D-D4841881C014}" name="Tabla224" displayName="Tabla224" ref="B27:E38" totalsRowShown="0" headerRowDxfId="27" headerRowBorderDxfId="26" tableBorderDxfId="25">
  <autoFilter ref="B27:E38" xr:uid="{886C523A-FD2A-4253-BA0D-D4841881C014}"/>
  <tableColumns count="4">
    <tableColumn id="2" xr3:uid="{230A6570-0D5E-479A-AEB4-2300F145A643}" name="Tarea " dataDxfId="24"/>
    <tableColumn id="3" xr3:uid="{1495F8A4-F420-4A37-8B83-D39888D95A8A}" name="Horas Estimadas" dataDxfId="23"/>
    <tableColumn id="4" xr3:uid="{26BDEDAA-9641-454D-9D43-82F951A6BA26}" name="Horas Reales" dataDxfId="22"/>
    <tableColumn id="5" xr3:uid="{8D421FFC-ECCA-4140-9CD3-51B4CE39649C}" name="Desviación" dataDxfId="21">
      <calculatedColumnFormula>D28-C28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24341-B211-48D6-B734-67956133B323}" name="Tabla22" displayName="Tabla22" ref="B14:E25" totalsRowShown="0" headerRowDxfId="20" headerRowBorderDxfId="19" tableBorderDxfId="18">
  <autoFilter ref="B14:E25" xr:uid="{86224341-B211-48D6-B734-67956133B323}"/>
  <tableColumns count="4">
    <tableColumn id="2" xr3:uid="{9758B989-628B-4162-9DD9-1731FE232B0A}" name="Tarea " dataDxfId="17"/>
    <tableColumn id="3" xr3:uid="{280A7132-D8B9-4CC3-B3FB-F3F06DCA9FAF}" name="Horas Estimadas" dataDxfId="16"/>
    <tableColumn id="4" xr3:uid="{268375ED-8F86-4156-BFDB-FC99D3D775AF}" name="Horas Reales" dataDxfId="15"/>
    <tableColumn id="5" xr3:uid="{6C0443DF-9027-4DAE-8F8F-DEFCD117B6AF}" name="Desviación" dataDxfId="14">
      <calculatedColumnFormula>D15-C15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149C7-F235-4A5C-968E-19FC231B1E13}" name="Tabla2" displayName="Tabla2" ref="B1:E12" totalsRowShown="0" headerRowDxfId="13" headerRowBorderDxfId="12" tableBorderDxfId="11">
  <autoFilter ref="B1:E12" xr:uid="{6E5149C7-F235-4A5C-968E-19FC231B1E13}"/>
  <tableColumns count="4">
    <tableColumn id="2" xr3:uid="{1546B8DD-F04A-438D-9BE6-12513ABE7940}" name="Tarea " dataDxfId="10"/>
    <tableColumn id="3" xr3:uid="{1486B9B3-DE4D-4081-BFE8-010FB84997CD}" name="Horas Estimadas" dataDxfId="9"/>
    <tableColumn id="4" xr3:uid="{FB444314-100D-47CE-A632-6377012E4490}" name="Horas Reales" dataDxfId="8"/>
    <tableColumn id="5" xr3:uid="{4EC02C60-822C-40D1-8257-D2163946FFB2}" name="Desviación" dataDxfId="7">
      <calculatedColumnFormula>D2-C2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003150-EEA5-47E6-A368-C5E737581C2A}" name="Tabla26" displayName="Tabla26" ref="B40:E44" totalsRowShown="0" headerRowDxfId="6" headerRowBorderDxfId="4" tableBorderDxfId="5">
  <autoFilter ref="B40:E44" xr:uid="{55003150-EEA5-47E6-A368-C5E737581C2A}"/>
  <tableColumns count="4">
    <tableColumn id="2" xr3:uid="{2800AFB2-9324-4889-894D-DC628E53F263}" name="Alumno" dataDxfId="3"/>
    <tableColumn id="3" xr3:uid="{2A8287DF-A2EF-4B52-8231-202A886E54B2}" name="Horas Estimadas" dataDxfId="2"/>
    <tableColumn id="4" xr3:uid="{8771194E-1E6C-42D6-8D22-BE1BD98F38FB}" name="Horas Reales" dataDxfId="1"/>
    <tableColumn id="5" xr3:uid="{D00C190F-8D4D-4C42-AF82-E3F799D3F4B1}" name="Desviación" dataDxfId="0">
      <calculatedColumnFormula>D41-C41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8954-CA25-41EB-8002-3EC2023C2949}">
  <dimension ref="A1:E44"/>
  <sheetViews>
    <sheetView tabSelected="1" topLeftCell="A19" zoomScale="80" zoomScaleNormal="80" workbookViewId="0">
      <selection activeCell="L29" sqref="L29"/>
    </sheetView>
  </sheetViews>
  <sheetFormatPr baseColWidth="10" defaultRowHeight="15" x14ac:dyDescent="0.25"/>
  <cols>
    <col min="1" max="1" width="18" customWidth="1"/>
    <col min="2" max="2" width="77.28515625" customWidth="1"/>
    <col min="3" max="3" width="20" customWidth="1"/>
    <col min="4" max="4" width="16.5703125" customWidth="1"/>
    <col min="5" max="5" width="15" customWidth="1"/>
    <col min="6" max="6" width="12.42578125" customWidth="1"/>
  </cols>
  <sheetData>
    <row r="1" spans="1:5" ht="15.75" thickBot="1" x14ac:dyDescent="0.3">
      <c r="A1" s="11" t="s">
        <v>16</v>
      </c>
      <c r="B1" s="12" t="s">
        <v>0</v>
      </c>
      <c r="C1" s="12" t="s">
        <v>3</v>
      </c>
      <c r="D1" s="12" t="s">
        <v>2</v>
      </c>
      <c r="E1" s="13" t="s">
        <v>1</v>
      </c>
    </row>
    <row r="2" spans="1:5" ht="30" x14ac:dyDescent="0.25">
      <c r="A2" s="17" t="s">
        <v>4</v>
      </c>
      <c r="B2" s="8" t="s">
        <v>6</v>
      </c>
      <c r="C2" s="9">
        <v>15</v>
      </c>
      <c r="D2" s="9">
        <v>24</v>
      </c>
      <c r="E2" s="10">
        <f>D2-C2</f>
        <v>9</v>
      </c>
    </row>
    <row r="3" spans="1:5" x14ac:dyDescent="0.25">
      <c r="A3" s="18"/>
      <c r="B3" s="2" t="s">
        <v>11</v>
      </c>
      <c r="C3" s="2">
        <v>15</v>
      </c>
      <c r="D3" s="2">
        <v>51</v>
      </c>
      <c r="E3" s="4">
        <f t="shared" ref="E3:E11" si="0">D3-C3</f>
        <v>36</v>
      </c>
    </row>
    <row r="4" spans="1:5" x14ac:dyDescent="0.25">
      <c r="A4" s="18"/>
      <c r="B4" s="2" t="s">
        <v>7</v>
      </c>
      <c r="C4" s="2">
        <v>10</v>
      </c>
      <c r="D4" s="2">
        <v>15</v>
      </c>
      <c r="E4" s="4">
        <f t="shared" si="0"/>
        <v>5</v>
      </c>
    </row>
    <row r="5" spans="1:5" ht="30" x14ac:dyDescent="0.25">
      <c r="A5" s="18"/>
      <c r="B5" s="3" t="s">
        <v>13</v>
      </c>
      <c r="C5" s="3">
        <v>6</v>
      </c>
      <c r="D5" s="3">
        <v>5</v>
      </c>
      <c r="E5" s="14">
        <f t="shared" si="0"/>
        <v>-1</v>
      </c>
    </row>
    <row r="6" spans="1:5" x14ac:dyDescent="0.25">
      <c r="A6" s="18"/>
      <c r="B6" s="2" t="s">
        <v>14</v>
      </c>
      <c r="C6" s="2">
        <v>8</v>
      </c>
      <c r="D6" s="2">
        <v>3</v>
      </c>
      <c r="E6" s="4">
        <f t="shared" si="0"/>
        <v>-5</v>
      </c>
    </row>
    <row r="7" spans="1:5" x14ac:dyDescent="0.25">
      <c r="A7" s="18"/>
      <c r="B7" s="2" t="s">
        <v>5</v>
      </c>
      <c r="C7" s="2">
        <v>20</v>
      </c>
      <c r="D7" s="2">
        <v>9</v>
      </c>
      <c r="E7" s="4">
        <f t="shared" si="0"/>
        <v>-11</v>
      </c>
    </row>
    <row r="8" spans="1:5" x14ac:dyDescent="0.25">
      <c r="A8" s="18"/>
      <c r="B8" s="2" t="s">
        <v>15</v>
      </c>
      <c r="C8" s="2">
        <v>50</v>
      </c>
      <c r="D8" s="2">
        <v>43</v>
      </c>
      <c r="E8" s="4">
        <f t="shared" si="0"/>
        <v>-7</v>
      </c>
    </row>
    <row r="9" spans="1:5" x14ac:dyDescent="0.25">
      <c r="A9" s="18"/>
      <c r="B9" s="2" t="s">
        <v>10</v>
      </c>
      <c r="C9" s="2">
        <v>10</v>
      </c>
      <c r="D9" s="2">
        <v>19</v>
      </c>
      <c r="E9" s="4">
        <f t="shared" si="0"/>
        <v>9</v>
      </c>
    </row>
    <row r="10" spans="1:5" x14ac:dyDescent="0.25">
      <c r="A10" s="18"/>
      <c r="B10" s="2" t="s">
        <v>9</v>
      </c>
      <c r="C10" s="2">
        <v>15</v>
      </c>
      <c r="D10" s="2">
        <v>31</v>
      </c>
      <c r="E10" s="4">
        <f t="shared" si="0"/>
        <v>16</v>
      </c>
    </row>
    <row r="11" spans="1:5" ht="15.75" thickBot="1" x14ac:dyDescent="0.3">
      <c r="A11" s="19"/>
      <c r="B11" s="5" t="s">
        <v>8</v>
      </c>
      <c r="C11" s="5">
        <v>20</v>
      </c>
      <c r="D11" s="5">
        <v>14</v>
      </c>
      <c r="E11" s="6">
        <f t="shared" si="0"/>
        <v>-6</v>
      </c>
    </row>
    <row r="12" spans="1:5" x14ac:dyDescent="0.25">
      <c r="B12" s="15" t="s">
        <v>12</v>
      </c>
      <c r="C12" s="7">
        <f>SUM(C2:C11)</f>
        <v>169</v>
      </c>
      <c r="D12" s="7">
        <f>SUM(D2:D11)</f>
        <v>214</v>
      </c>
      <c r="E12" s="7">
        <f>SUM(E2:E11)</f>
        <v>45</v>
      </c>
    </row>
    <row r="13" spans="1:5" s="1" customFormat="1" ht="15.75" thickBot="1" x14ac:dyDescent="0.3">
      <c r="A13"/>
      <c r="B13"/>
      <c r="C13"/>
      <c r="D13"/>
      <c r="E13"/>
    </row>
    <row r="14" spans="1:5" ht="15.75" thickBot="1" x14ac:dyDescent="0.3">
      <c r="A14" s="11" t="s">
        <v>16</v>
      </c>
      <c r="B14" s="12" t="s">
        <v>0</v>
      </c>
      <c r="C14" s="12" t="s">
        <v>3</v>
      </c>
      <c r="D14" s="12" t="s">
        <v>2</v>
      </c>
      <c r="E14" s="13" t="s">
        <v>1</v>
      </c>
    </row>
    <row r="15" spans="1:5" x14ac:dyDescent="0.25">
      <c r="A15" s="17" t="s">
        <v>17</v>
      </c>
      <c r="B15" s="8" t="s">
        <v>18</v>
      </c>
      <c r="C15" s="9">
        <v>15</v>
      </c>
      <c r="D15" s="9">
        <v>30</v>
      </c>
      <c r="E15" s="10">
        <f>D15-C15</f>
        <v>15</v>
      </c>
    </row>
    <row r="16" spans="1:5" x14ac:dyDescent="0.25">
      <c r="A16" s="18"/>
      <c r="B16" s="2" t="s">
        <v>19</v>
      </c>
      <c r="C16" s="2">
        <v>10</v>
      </c>
      <c r="D16" s="2">
        <v>20</v>
      </c>
      <c r="E16" s="4">
        <f t="shared" ref="E16:E24" si="1">D16-C16</f>
        <v>10</v>
      </c>
    </row>
    <row r="17" spans="1:5" x14ac:dyDescent="0.25">
      <c r="A17" s="18"/>
      <c r="B17" s="2" t="s">
        <v>22</v>
      </c>
      <c r="C17" s="2">
        <v>30</v>
      </c>
      <c r="D17" s="2">
        <v>45</v>
      </c>
      <c r="E17" s="4">
        <f t="shared" si="1"/>
        <v>15</v>
      </c>
    </row>
    <row r="18" spans="1:5" x14ac:dyDescent="0.25">
      <c r="A18" s="18"/>
      <c r="B18" s="3" t="s">
        <v>20</v>
      </c>
      <c r="C18" s="3">
        <v>4</v>
      </c>
      <c r="D18" s="3">
        <v>8</v>
      </c>
      <c r="E18" s="14">
        <f t="shared" si="1"/>
        <v>4</v>
      </c>
    </row>
    <row r="19" spans="1:5" x14ac:dyDescent="0.25">
      <c r="A19" s="18"/>
      <c r="B19" s="2" t="s">
        <v>21</v>
      </c>
      <c r="C19" s="2">
        <v>8</v>
      </c>
      <c r="D19" s="2">
        <v>10</v>
      </c>
      <c r="E19" s="4">
        <f t="shared" si="1"/>
        <v>2</v>
      </c>
    </row>
    <row r="20" spans="1:5" x14ac:dyDescent="0.25">
      <c r="A20" s="18"/>
      <c r="B20" s="2" t="s">
        <v>23</v>
      </c>
      <c r="C20" s="2">
        <v>20</v>
      </c>
      <c r="D20" s="2">
        <v>10</v>
      </c>
      <c r="E20" s="4">
        <f t="shared" si="1"/>
        <v>-10</v>
      </c>
    </row>
    <row r="21" spans="1:5" x14ac:dyDescent="0.25">
      <c r="A21" s="18"/>
      <c r="B21" s="2" t="s">
        <v>24</v>
      </c>
      <c r="C21" s="2">
        <v>20</v>
      </c>
      <c r="D21" s="2">
        <v>65</v>
      </c>
      <c r="E21" s="4">
        <f t="shared" si="1"/>
        <v>45</v>
      </c>
    </row>
    <row r="22" spans="1:5" x14ac:dyDescent="0.25">
      <c r="A22" s="18"/>
      <c r="B22" s="2" t="s">
        <v>38</v>
      </c>
      <c r="C22" s="2">
        <v>5</v>
      </c>
      <c r="D22" s="2">
        <v>10</v>
      </c>
      <c r="E22" s="4">
        <f t="shared" si="1"/>
        <v>5</v>
      </c>
    </row>
    <row r="23" spans="1:5" x14ac:dyDescent="0.25">
      <c r="A23" s="18"/>
      <c r="B23" s="2" t="s">
        <v>25</v>
      </c>
      <c r="C23" s="2">
        <v>10</v>
      </c>
      <c r="D23" s="2">
        <v>5</v>
      </c>
      <c r="E23" s="4">
        <f t="shared" si="1"/>
        <v>-5</v>
      </c>
    </row>
    <row r="24" spans="1:5" ht="15.75" thickBot="1" x14ac:dyDescent="0.3">
      <c r="A24" s="19"/>
      <c r="B24" s="5" t="s">
        <v>26</v>
      </c>
      <c r="C24" s="5">
        <v>20</v>
      </c>
      <c r="D24" s="5">
        <v>14</v>
      </c>
      <c r="E24" s="6">
        <f t="shared" si="1"/>
        <v>-6</v>
      </c>
    </row>
    <row r="25" spans="1:5" x14ac:dyDescent="0.25">
      <c r="B25" s="15" t="s">
        <v>12</v>
      </c>
      <c r="C25" s="7">
        <f>SUM(C15:C24)</f>
        <v>142</v>
      </c>
      <c r="D25" s="7">
        <f>SUM(D15:D24)</f>
        <v>217</v>
      </c>
      <c r="E25" s="7">
        <f>SUM(E15:E24)</f>
        <v>75</v>
      </c>
    </row>
    <row r="26" spans="1:5" ht="15.75" thickBot="1" x14ac:dyDescent="0.3">
      <c r="B26" s="16"/>
    </row>
    <row r="27" spans="1:5" ht="15.75" thickBot="1" x14ac:dyDescent="0.3">
      <c r="A27" s="11" t="s">
        <v>16</v>
      </c>
      <c r="B27" s="12" t="s">
        <v>0</v>
      </c>
      <c r="C27" s="12" t="s">
        <v>3</v>
      </c>
      <c r="D27" s="12" t="s">
        <v>2</v>
      </c>
      <c r="E27" s="13" t="s">
        <v>1</v>
      </c>
    </row>
    <row r="28" spans="1:5" x14ac:dyDescent="0.25">
      <c r="A28" s="17" t="s">
        <v>27</v>
      </c>
      <c r="B28" t="s">
        <v>28</v>
      </c>
      <c r="C28" s="9">
        <v>15</v>
      </c>
      <c r="D28" s="9">
        <v>45</v>
      </c>
      <c r="E28" s="10">
        <f>D28-C28</f>
        <v>30</v>
      </c>
    </row>
    <row r="29" spans="1:5" x14ac:dyDescent="0.25">
      <c r="A29" s="18"/>
      <c r="B29" t="s">
        <v>29</v>
      </c>
      <c r="C29" s="2">
        <v>15</v>
      </c>
      <c r="D29" s="2">
        <v>25</v>
      </c>
      <c r="E29" s="4">
        <f t="shared" ref="E29:E37" si="2">D29-C29</f>
        <v>10</v>
      </c>
    </row>
    <row r="30" spans="1:5" x14ac:dyDescent="0.25">
      <c r="A30" s="18"/>
      <c r="B30" t="s">
        <v>30</v>
      </c>
      <c r="C30" s="2">
        <v>8</v>
      </c>
      <c r="D30" s="2">
        <v>15</v>
      </c>
      <c r="E30" s="4">
        <f t="shared" si="2"/>
        <v>7</v>
      </c>
    </row>
    <row r="31" spans="1:5" x14ac:dyDescent="0.25">
      <c r="A31" s="18"/>
      <c r="B31" t="s">
        <v>31</v>
      </c>
      <c r="C31" s="3">
        <v>6</v>
      </c>
      <c r="D31" s="3">
        <v>8</v>
      </c>
      <c r="E31" s="14">
        <f t="shared" si="2"/>
        <v>2</v>
      </c>
    </row>
    <row r="32" spans="1:5" x14ac:dyDescent="0.25">
      <c r="A32" s="18"/>
      <c r="B32" t="s">
        <v>32</v>
      </c>
      <c r="C32" s="2">
        <v>8</v>
      </c>
      <c r="D32" s="2">
        <v>8</v>
      </c>
      <c r="E32" s="4">
        <f t="shared" si="2"/>
        <v>0</v>
      </c>
    </row>
    <row r="33" spans="1:5" x14ac:dyDescent="0.25">
      <c r="A33" s="18"/>
      <c r="B33" t="s">
        <v>33</v>
      </c>
      <c r="C33" s="2">
        <v>19</v>
      </c>
      <c r="D33" s="2">
        <v>15</v>
      </c>
      <c r="E33" s="4">
        <f t="shared" si="2"/>
        <v>-4</v>
      </c>
    </row>
    <row r="34" spans="1:5" x14ac:dyDescent="0.25">
      <c r="A34" s="18"/>
      <c r="B34" t="s">
        <v>34</v>
      </c>
      <c r="C34" s="2">
        <v>40</v>
      </c>
      <c r="D34" s="2">
        <v>30</v>
      </c>
      <c r="E34" s="4">
        <f t="shared" si="2"/>
        <v>-10</v>
      </c>
    </row>
    <row r="35" spans="1:5" x14ac:dyDescent="0.25">
      <c r="A35" s="18"/>
      <c r="B35" t="s">
        <v>35</v>
      </c>
      <c r="C35" s="2">
        <v>10</v>
      </c>
      <c r="D35" s="2">
        <v>25</v>
      </c>
      <c r="E35" s="4">
        <f t="shared" si="2"/>
        <v>15</v>
      </c>
    </row>
    <row r="36" spans="1:5" x14ac:dyDescent="0.25">
      <c r="A36" s="18"/>
      <c r="B36" t="s">
        <v>36</v>
      </c>
      <c r="C36" s="2">
        <v>5</v>
      </c>
      <c r="D36" s="2">
        <v>10</v>
      </c>
      <c r="E36" s="4">
        <f t="shared" si="2"/>
        <v>5</v>
      </c>
    </row>
    <row r="37" spans="1:5" ht="15.75" thickBot="1" x14ac:dyDescent="0.3">
      <c r="A37" s="19"/>
      <c r="B37" t="s">
        <v>37</v>
      </c>
      <c r="C37" s="5">
        <v>25</v>
      </c>
      <c r="D37" s="5">
        <v>20</v>
      </c>
      <c r="E37" s="6">
        <f t="shared" si="2"/>
        <v>-5</v>
      </c>
    </row>
    <row r="38" spans="1:5" x14ac:dyDescent="0.25">
      <c r="B38" s="15" t="s">
        <v>12</v>
      </c>
      <c r="C38" s="7">
        <f>SUM(C28:C37)</f>
        <v>151</v>
      </c>
      <c r="D38" s="7">
        <f>SUM(D28:D37)</f>
        <v>201</v>
      </c>
      <c r="E38" s="7">
        <f>SUM(E28:E37)</f>
        <v>50</v>
      </c>
    </row>
    <row r="39" spans="1:5" ht="15.75" thickBot="1" x14ac:dyDescent="0.3"/>
    <row r="40" spans="1:5" ht="15.75" thickBot="1" x14ac:dyDescent="0.3">
      <c r="A40" s="11" t="s">
        <v>39</v>
      </c>
      <c r="B40" s="12" t="s">
        <v>16</v>
      </c>
      <c r="C40" s="12" t="s">
        <v>3</v>
      </c>
      <c r="D40" s="12" t="s">
        <v>2</v>
      </c>
      <c r="E40" s="13" t="s">
        <v>1</v>
      </c>
    </row>
    <row r="41" spans="1:5" x14ac:dyDescent="0.25">
      <c r="A41" s="22" t="s">
        <v>39</v>
      </c>
      <c r="B41" s="20" t="s">
        <v>4</v>
      </c>
      <c r="C41" s="9">
        <v>169</v>
      </c>
      <c r="D41" s="9">
        <v>214</v>
      </c>
      <c r="E41" s="10">
        <f>D41-C41</f>
        <v>45</v>
      </c>
    </row>
    <row r="42" spans="1:5" x14ac:dyDescent="0.25">
      <c r="A42" s="23"/>
      <c r="B42" s="21" t="s">
        <v>17</v>
      </c>
      <c r="C42" s="2">
        <v>142</v>
      </c>
      <c r="D42" s="2">
        <v>217</v>
      </c>
      <c r="E42" s="4">
        <f t="shared" ref="E42:E43" si="3">D42-C42</f>
        <v>75</v>
      </c>
    </row>
    <row r="43" spans="1:5" ht="15.75" thickBot="1" x14ac:dyDescent="0.3">
      <c r="A43" s="24"/>
      <c r="B43" s="21" t="s">
        <v>27</v>
      </c>
      <c r="C43" s="2">
        <v>151</v>
      </c>
      <c r="D43" s="2">
        <v>201</v>
      </c>
      <c r="E43" s="4">
        <f t="shared" si="3"/>
        <v>50</v>
      </c>
    </row>
    <row r="44" spans="1:5" x14ac:dyDescent="0.25">
      <c r="B44" s="15" t="s">
        <v>12</v>
      </c>
      <c r="C44" s="7">
        <f>SUM(C41:C43)</f>
        <v>462</v>
      </c>
      <c r="D44" s="7">
        <f>SUM(D41:D43)</f>
        <v>632</v>
      </c>
      <c r="E44" s="7">
        <f>SUM(E41:E43)</f>
        <v>170</v>
      </c>
    </row>
  </sheetData>
  <mergeCells count="4">
    <mergeCell ref="A2:A11"/>
    <mergeCell ref="A15:A24"/>
    <mergeCell ref="A28:A37"/>
    <mergeCell ref="A41:A43"/>
  </mergeCells>
  <phoneticPr fontId="2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bellomifede@gmail.com</dc:creator>
  <cp:lastModifiedBy>nicolas de lio</cp:lastModifiedBy>
  <dcterms:created xsi:type="dcterms:W3CDTF">2026-02-20T02:11:19Z</dcterms:created>
  <dcterms:modified xsi:type="dcterms:W3CDTF">2026-02-20T22:51:15Z</dcterms:modified>
</cp:coreProperties>
</file>